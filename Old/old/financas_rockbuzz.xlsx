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52773fe8bdd6fd/01 - Projetos/07 - Streamlit/Finanças Rockbuzz/"/>
    </mc:Choice>
  </mc:AlternateContent>
  <xr:revisionPtr revIDLastSave="11" documentId="8_{C7E01F97-6DF1-4E12-AA54-C82359ED3141}" xr6:coauthVersionLast="47" xr6:coauthVersionMax="47" xr10:uidLastSave="{BE116564-D406-41F4-A27E-9C00A3A09261}"/>
  <bookViews>
    <workbookView xWindow="-108" yWindow="-108" windowWidth="23256" windowHeight="12456" activeTab="1" xr2:uid="{5114FEDA-D21C-4811-AB9E-40696C12E9BC}"/>
  </bookViews>
  <sheets>
    <sheet name="fluxo_de_caixa" sheetId="2" r:id="rId1"/>
    <sheet name="Planilha1" sheetId="3" r:id="rId2"/>
  </sheets>
  <definedNames>
    <definedName name="_xlnm._FilterDatabase" localSheetId="0" hidden="1">fluxo_de_caixa!$M$8:$Q$45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3" l="1"/>
  <c r="J9" i="2" a="1"/>
  <c r="J9" i="2" s="1"/>
  <c r="U9" i="2" a="1"/>
  <c r="U27" i="2" s="1"/>
  <c r="U38" i="2"/>
  <c r="U52" i="2"/>
  <c r="J23" i="2" l="1"/>
  <c r="J22" i="2"/>
  <c r="K16" i="2" s="1"/>
  <c r="U9" i="2"/>
  <c r="K15" i="2" l="1"/>
  <c r="K19" i="2"/>
  <c r="V11" i="2"/>
  <c r="K12" i="2"/>
  <c r="K20" i="2"/>
  <c r="J24" i="2"/>
  <c r="K24" i="2" s="1"/>
  <c r="V12" i="2"/>
  <c r="K11" i="2"/>
  <c r="K14" i="2"/>
  <c r="K10" i="2"/>
  <c r="K18" i="2"/>
  <c r="K13" i="2"/>
  <c r="V9" i="2"/>
  <c r="U26" i="2"/>
  <c r="K17" i="2"/>
  <c r="K9" i="2"/>
  <c r="K22" i="2" s="1"/>
  <c r="K23" i="2" l="1"/>
  <c r="U28" i="2"/>
  <c r="V28" i="2" s="1"/>
  <c r="V14" i="2"/>
  <c r="V18" i="2"/>
  <c r="V22" i="2"/>
  <c r="V13" i="2"/>
  <c r="V10" i="2"/>
  <c r="V26" i="2" s="1"/>
  <c r="V20" i="2"/>
  <c r="V19" i="2"/>
  <c r="V21" i="2"/>
  <c r="V15" i="2"/>
  <c r="V23" i="2"/>
  <c r="V24" i="2"/>
  <c r="V17" i="2"/>
  <c r="V16" i="2"/>
  <c r="V2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<sst xmlns="http://schemas.openxmlformats.org/spreadsheetml/2006/main" count="371" uniqueCount="128">
  <si>
    <t>Marketing Digital</t>
  </si>
  <si>
    <t>Pagamento WIX + CANVA</t>
  </si>
  <si>
    <t>Saída</t>
  </si>
  <si>
    <t>Cachês</t>
  </si>
  <si>
    <t>Cache Quintal Murilo</t>
  </si>
  <si>
    <t>Cache Quintal Naldo</t>
  </si>
  <si>
    <t>Cache Quintal Tay</t>
  </si>
  <si>
    <t>Cache Quintal Kiko</t>
  </si>
  <si>
    <t>Cache Quintal Everton</t>
  </si>
  <si>
    <t>Cache Quintal Helio</t>
  </si>
  <si>
    <t>Shows</t>
  </si>
  <si>
    <t>Cache Quintal Caxambú</t>
  </si>
  <si>
    <t>Entrada</t>
  </si>
  <si>
    <t>Ensaios</t>
  </si>
  <si>
    <t>Ensaio Osvaldinho</t>
  </si>
  <si>
    <t>Residuo cache Rockwheels + Cache Dino Naldo</t>
  </si>
  <si>
    <t>Residuo cache Rockwheels + Cache Dino Kiko</t>
  </si>
  <si>
    <t>Residuo cache Rockwheels + Cache Dino Murilo</t>
  </si>
  <si>
    <t>Residuo cache Rockwheels + Cache Dino Everton</t>
  </si>
  <si>
    <t>Residuo cache Rockwheels + Cache Dino Tay</t>
  </si>
  <si>
    <t>Residuo cache Rockwheels + Cache Dino Helio</t>
  </si>
  <si>
    <t>Rendimentos</t>
  </si>
  <si>
    <t>Rendimento Conta Nubank</t>
  </si>
  <si>
    <t>Cache Dinossauros</t>
  </si>
  <si>
    <t>Produção</t>
  </si>
  <si>
    <t>Pagamento Fotos Banda Dalua</t>
  </si>
  <si>
    <t>Total</t>
  </si>
  <si>
    <t>Equipe Técnica</t>
  </si>
  <si>
    <t>Pagamento Pinduca Dinossauros</t>
  </si>
  <si>
    <t>Merchandising</t>
  </si>
  <si>
    <t>Recebimento Camisetas Murilo</t>
  </si>
  <si>
    <t>Logistica</t>
  </si>
  <si>
    <t>Reembolso Custos Carros SP Naldo</t>
  </si>
  <si>
    <t>Recebimento Sinal Show Cecilia Dinov (Vinhedo)</t>
  </si>
  <si>
    <t>Reembolso Custos Carros SP Kiko</t>
  </si>
  <si>
    <t>Recebimento Camisetas Tay</t>
  </si>
  <si>
    <t>Reembolso Custos Carros SP Everton</t>
  </si>
  <si>
    <t>Pagamento Luminoso Rockbuzz</t>
  </si>
  <si>
    <t>Ensaio Eguchi</t>
  </si>
  <si>
    <t>Pagamento Pinduca Roadie</t>
  </si>
  <si>
    <t>Cache Rockwheels SP</t>
  </si>
  <si>
    <t>Reembolso Tay compra fantasias</t>
  </si>
  <si>
    <t>Fotografia</t>
  </si>
  <si>
    <t>Pagamento fotografo SP</t>
  </si>
  <si>
    <t>Músico Freelancer</t>
  </si>
  <si>
    <t>Pagamento Cache Helio Show Halloween</t>
  </si>
  <si>
    <t>Show Villa (Bilheteria)</t>
  </si>
  <si>
    <t>Pagamento Adiantado Cartão Maio (Ads, Site)</t>
  </si>
  <si>
    <t>Cache Sinal 50% Festa Halloween Renata</t>
  </si>
  <si>
    <t>Pagamento Cartão (Ads, Site, Assinatura Capcut)</t>
  </si>
  <si>
    <t>Pagamento Denão Camisetas</t>
  </si>
  <si>
    <t>A receber</t>
  </si>
  <si>
    <t>Pagamento Caches</t>
  </si>
  <si>
    <t>Aluguel de equipamentos</t>
  </si>
  <si>
    <t>Pagamento Guilherme Bollini</t>
  </si>
  <si>
    <t>Show Denão</t>
  </si>
  <si>
    <t>Recebimento Cache Tabuas Valinhos</t>
  </si>
  <si>
    <t>Taxa resgate Campanha</t>
  </si>
  <si>
    <t>Pagamento Post Patrocinado Villa 1/2</t>
  </si>
  <si>
    <t>Equipamentos</t>
  </si>
  <si>
    <t>Pagamento Tay - Compra de Pilhas</t>
  </si>
  <si>
    <t>Recebimento OktoberFest</t>
  </si>
  <si>
    <t>Pagamento Guilherme Penteado (Fotos Oktoberfest)</t>
  </si>
  <si>
    <t>Show Villa</t>
  </si>
  <si>
    <t>Pagamento Helio (Freelance Oktoberfest)</t>
  </si>
  <si>
    <t>Show Harley Davidson Campinas</t>
  </si>
  <si>
    <t>Pagamento Ensaio Osvaldinho</t>
  </si>
  <si>
    <t>Pagamento Caches Kiko</t>
  </si>
  <si>
    <t>Recebimento Prefeitura Varzea Paulista/SP</t>
  </si>
  <si>
    <t>Pagamento Caches (Tay, Murilo, Naldo, Helio, Everton)</t>
  </si>
  <si>
    <t>Pagamento Bonés Rockbuzz</t>
  </si>
  <si>
    <t>Show Festa da Uva</t>
  </si>
  <si>
    <t>Pagamento Cache Helio Show Villa</t>
  </si>
  <si>
    <t>Show Festa Fechada Louveira</t>
  </si>
  <si>
    <t>Pagamento Denão Camiseta Léo</t>
  </si>
  <si>
    <t>Recebimento Show Villa</t>
  </si>
  <si>
    <t>A pagar</t>
  </si>
  <si>
    <t>Pagamento ECAD Festa da Uva</t>
  </si>
  <si>
    <t>Investimento Pessoal</t>
  </si>
  <si>
    <t>Recebimento Suporte Everton</t>
  </si>
  <si>
    <t>Pagamento Guilherme Bollini (Festa da Uva)</t>
  </si>
  <si>
    <t>Pagamento Camisetas Denão (2 pagto)</t>
  </si>
  <si>
    <t>Total em Caixa</t>
  </si>
  <si>
    <t>Pagamento Guilherme Bollini (Som Quintal)</t>
  </si>
  <si>
    <t>Recebimento Suporte Tay</t>
  </si>
  <si>
    <t>Saidas</t>
  </si>
  <si>
    <t>Recebimento Suporte Murilo</t>
  </si>
  <si>
    <t>Entradas</t>
  </si>
  <si>
    <t>Show Quintal Caxambú</t>
  </si>
  <si>
    <t xml:space="preserve">Recebimento Suporte Marcão </t>
  </si>
  <si>
    <t>Fotografia Wendell Festa da Uva</t>
  </si>
  <si>
    <t>Sáida</t>
  </si>
  <si>
    <t>Pagamento Suporte de Copos Dtuner</t>
  </si>
  <si>
    <t>Alimentação</t>
  </si>
  <si>
    <t>Adesivos + Café da Manha Ensaio</t>
  </si>
  <si>
    <t>Vendas Merchandising</t>
  </si>
  <si>
    <t>Recebimento Camisetas Irmao Marcao</t>
  </si>
  <si>
    <t>Venda Merchandising Naldo</t>
  </si>
  <si>
    <t>Recebimento Camiseta Du</t>
  </si>
  <si>
    <t>Almoço Guilherme Estudio</t>
  </si>
  <si>
    <t>Recebimento Camiseta Rogerio Vaz</t>
  </si>
  <si>
    <t>Salgadinhos + Coca Estudio</t>
  </si>
  <si>
    <t>Recebimento Diferenca camisetas Everton</t>
  </si>
  <si>
    <t>Serviço Guilherme Bollini (Intro/Making Of/Almoço)</t>
  </si>
  <si>
    <t>Video Martelli</t>
  </si>
  <si>
    <t>Pagamento Marcelo Video RockBuzz</t>
  </si>
  <si>
    <t>Pilhas + Baterias 9V + Testador Pilhas</t>
  </si>
  <si>
    <t>Devoluçao Naldo (video Marcelo)</t>
  </si>
  <si>
    <t>Dominio Site</t>
  </si>
  <si>
    <t>Cache Quintal Caxambu</t>
  </si>
  <si>
    <t>Pagamento PA Kiko Show Vinhedo</t>
  </si>
  <si>
    <t>Post Patrocinado Campanha Ahtrio</t>
  </si>
  <si>
    <t>Pagamento Logistica Show Vinhedo</t>
  </si>
  <si>
    <t>Pagamento Camisetas Denão (1 pagto)</t>
  </si>
  <si>
    <t>Pagamento Martelo (Freelance)</t>
  </si>
  <si>
    <t>Recebimento Camisetas Banda</t>
  </si>
  <si>
    <t>Recebimento Show Cecilia Dinov (Vinhedo)</t>
  </si>
  <si>
    <t>Pagamento Marcelo Artes RockBuzz</t>
  </si>
  <si>
    <t>Cache Porão do Denão</t>
  </si>
  <si>
    <t>Pagamento Ensaios Cemus</t>
  </si>
  <si>
    <t>Recebimento  Show Dinossauros</t>
  </si>
  <si>
    <t>Recebimento Fotos Banda</t>
  </si>
  <si>
    <t>%</t>
  </si>
  <si>
    <t>Valor Total</t>
  </si>
  <si>
    <t>Categoria</t>
  </si>
  <si>
    <t>Valor</t>
  </si>
  <si>
    <t>Descrição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</si>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</sst>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6" fontId="4" fillId="0" borderId="0" xfId="0" applyNumberFormat="1" applyFont="1" applyAlignment="1">
      <alignment horizontal="center"/>
    </xf>
    <xf numFmtId="44" fontId="0" fillId="0" borderId="0" xfId="1" applyFont="1"/>
    <xf numFmtId="0" fontId="0" fillId="2" borderId="0" xfId="0" applyFill="1"/>
    <xf numFmtId="44" fontId="0" fillId="2" borderId="0" xfId="0" applyNumberFormat="1" applyFill="1"/>
    <xf numFmtId="16" fontId="0" fillId="0" borderId="0" xfId="0" applyNumberFormat="1"/>
    <xf numFmtId="0" fontId="5" fillId="3" borderId="0" xfId="0" applyFont="1" applyFill="1"/>
    <xf numFmtId="9" fontId="6" fillId="0" borderId="0" xfId="0" applyNumberFormat="1" applyFont="1"/>
    <xf numFmtId="44" fontId="6" fillId="0" borderId="0" xfId="0" applyNumberFormat="1" applyFont="1"/>
    <xf numFmtId="0" fontId="4" fillId="0" borderId="0" xfId="0" applyFont="1"/>
    <xf numFmtId="9" fontId="3" fillId="0" borderId="0" xfId="0" applyNumberFormat="1" applyFont="1"/>
    <xf numFmtId="44" fontId="3" fillId="0" borderId="0" xfId="0" applyNumberFormat="1" applyFont="1"/>
    <xf numFmtId="9" fontId="3" fillId="0" borderId="0" xfId="2" applyFont="1"/>
    <xf numFmtId="44" fontId="3" fillId="0" borderId="0" xfId="1" applyFont="1"/>
    <xf numFmtId="44" fontId="0" fillId="0" borderId="0" xfId="0" applyNumberFormat="1"/>
    <xf numFmtId="164" fontId="6" fillId="0" borderId="0" xfId="2" applyNumberFormat="1" applyFont="1"/>
    <xf numFmtId="44" fontId="6" fillId="0" borderId="0" xfId="1" applyFont="1"/>
    <xf numFmtId="9" fontId="6" fillId="0" borderId="0" xfId="2" applyFont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" fontId="7" fillId="0" borderId="3" xfId="0" applyNumberFormat="1" applyFont="1" applyBorder="1" applyAlignment="1">
      <alignment horizontal="right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2576</xdr:colOff>
      <xdr:row>4</xdr:row>
      <xdr:rowOff>49752</xdr:rowOff>
    </xdr:from>
    <xdr:to>
      <xdr:col>5</xdr:col>
      <xdr:colOff>914400</xdr:colOff>
      <xdr:row>6</xdr:row>
      <xdr:rowOff>48021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C8FF170-A3BD-44B1-8A50-398721D9119B}"/>
            </a:ext>
          </a:extLst>
        </xdr:cNvPr>
        <xdr:cNvSpPr/>
      </xdr:nvSpPr>
      <xdr:spPr>
        <a:xfrm>
          <a:off x="612176" y="781272"/>
          <a:ext cx="3045424" cy="36402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Fluxo de Caixa 2024</a:t>
          </a:r>
        </a:p>
      </xdr:txBody>
    </xdr:sp>
    <xdr:clientData/>
  </xdr:twoCellAnchor>
  <xdr:twoCellAnchor>
    <xdr:from>
      <xdr:col>12</xdr:col>
      <xdr:colOff>2016</xdr:colOff>
      <xdr:row>4</xdr:row>
      <xdr:rowOff>61518</xdr:rowOff>
    </xdr:from>
    <xdr:to>
      <xdr:col>16</xdr:col>
      <xdr:colOff>913840</xdr:colOff>
      <xdr:row>6</xdr:row>
      <xdr:rowOff>59787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65101B9-D638-4E31-9006-11D15660E248}"/>
            </a:ext>
          </a:extLst>
        </xdr:cNvPr>
        <xdr:cNvSpPr/>
      </xdr:nvSpPr>
      <xdr:spPr>
        <a:xfrm>
          <a:off x="7317216" y="793038"/>
          <a:ext cx="3045424" cy="36402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Fluxo de Caixa 2025</a:t>
          </a:r>
        </a:p>
      </xdr:txBody>
    </xdr:sp>
    <xdr:clientData/>
  </xdr:twoCellAnchor>
  <xdr:twoCellAnchor>
    <xdr:from>
      <xdr:col>8</xdr:col>
      <xdr:colOff>20506</xdr:colOff>
      <xdr:row>4</xdr:row>
      <xdr:rowOff>49752</xdr:rowOff>
    </xdr:from>
    <xdr:to>
      <xdr:col>10</xdr:col>
      <xdr:colOff>600636</xdr:colOff>
      <xdr:row>6</xdr:row>
      <xdr:rowOff>48021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777B5BA-F1C0-497E-93DB-75BF68102CF6}"/>
            </a:ext>
          </a:extLst>
        </xdr:cNvPr>
        <xdr:cNvSpPr/>
      </xdr:nvSpPr>
      <xdr:spPr>
        <a:xfrm>
          <a:off x="4897306" y="781272"/>
          <a:ext cx="1799330" cy="36402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Consolidado 2024</a:t>
          </a:r>
          <a:r>
            <a:rPr lang="pt-BR" sz="1400" b="1" baseline="0"/>
            <a:t> </a:t>
          </a:r>
          <a:endParaRPr lang="pt-BR" sz="1400" b="1"/>
        </a:p>
      </xdr:txBody>
    </xdr:sp>
    <xdr:clientData/>
  </xdr:twoCellAnchor>
  <xdr:twoCellAnchor>
    <xdr:from>
      <xdr:col>19</xdr:col>
      <xdr:colOff>11205</xdr:colOff>
      <xdr:row>4</xdr:row>
      <xdr:rowOff>89647</xdr:rowOff>
    </xdr:from>
    <xdr:to>
      <xdr:col>21</xdr:col>
      <xdr:colOff>786316</xdr:colOff>
      <xdr:row>6</xdr:row>
      <xdr:rowOff>78391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D173E53-0D03-4DCA-A781-21FD2458541B}"/>
            </a:ext>
          </a:extLst>
        </xdr:cNvPr>
        <xdr:cNvSpPr/>
      </xdr:nvSpPr>
      <xdr:spPr>
        <a:xfrm>
          <a:off x="11593605" y="821167"/>
          <a:ext cx="1819051" cy="35450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Consolidado 2025</a:t>
          </a:r>
          <a:r>
            <a:rPr lang="pt-BR" sz="1400" b="1" baseline="0"/>
            <a:t> </a:t>
          </a:r>
          <a:endParaRPr lang="pt-BR" sz="14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D413-6F71-433C-A5EF-4D26B1D41501}">
  <dimension ref="B7:Z85"/>
  <sheetViews>
    <sheetView showGridLines="0" topLeftCell="J40" zoomScale="85" zoomScaleNormal="85" workbookViewId="0">
      <selection activeCell="Q9" sqref="Q9:Q68"/>
    </sheetView>
  </sheetViews>
  <sheetFormatPr defaultRowHeight="14.4" outlineLevelCol="1" x14ac:dyDescent="0.3"/>
  <cols>
    <col min="1" max="1" width="8.88671875" customWidth="1"/>
    <col min="2" max="3" width="12.109375" customWidth="1" outlineLevel="1"/>
    <col min="4" max="4" width="45.44140625" customWidth="1" outlineLevel="1"/>
    <col min="5" max="5" width="21.21875" customWidth="1" outlineLevel="1"/>
    <col min="6" max="6" width="13.6640625" customWidth="1" outlineLevel="1"/>
    <col min="7" max="8" width="8.88671875" customWidth="1" outlineLevel="1"/>
    <col min="9" max="9" width="21.21875" customWidth="1" outlineLevel="1"/>
    <col min="10" max="10" width="15" customWidth="1" outlineLevel="1"/>
    <col min="11" max="11" width="8.88671875" customWidth="1" outlineLevel="1"/>
    <col min="12" max="12" width="11.88671875" bestFit="1" customWidth="1"/>
    <col min="13" max="14" width="12.109375" customWidth="1" outlineLevel="1"/>
    <col min="15" max="15" width="45.44140625" customWidth="1" outlineLevel="1"/>
    <col min="16" max="16" width="21.21875" customWidth="1" outlineLevel="1"/>
    <col min="17" max="17" width="13.6640625" customWidth="1" outlineLevel="1"/>
    <col min="18" max="19" width="8.88671875" customWidth="1" outlineLevel="1"/>
    <col min="20" max="20" width="28" customWidth="1" outlineLevel="1"/>
    <col min="21" max="21" width="15" customWidth="1" outlineLevel="1"/>
    <col min="22" max="22" width="11.5546875" customWidth="1" outlineLevel="1"/>
    <col min="26" max="26" width="11" bestFit="1" customWidth="1"/>
  </cols>
  <sheetData>
    <row r="7" spans="2:22" ht="15" thickBot="1" x14ac:dyDescent="0.35"/>
    <row r="8" spans="2:22" ht="15" thickBot="1" x14ac:dyDescent="0.35">
      <c r="B8" s="20" t="s">
        <v>127</v>
      </c>
      <c r="C8" s="19"/>
      <c r="D8" s="19" t="s">
        <v>126</v>
      </c>
      <c r="E8" s="19" t="s">
        <v>124</v>
      </c>
      <c r="F8" s="19" t="s">
        <v>125</v>
      </c>
      <c r="I8" s="18" t="s">
        <v>124</v>
      </c>
      <c r="J8" s="18" t="s">
        <v>123</v>
      </c>
      <c r="K8" s="18" t="s">
        <v>122</v>
      </c>
      <c r="M8" s="20" t="s">
        <v>127</v>
      </c>
      <c r="N8" s="19"/>
      <c r="O8" s="19" t="s">
        <v>126</v>
      </c>
      <c r="P8" s="19" t="s">
        <v>124</v>
      </c>
      <c r="Q8" s="19" t="s">
        <v>125</v>
      </c>
      <c r="T8" s="18" t="s">
        <v>124</v>
      </c>
      <c r="U8" s="18" t="s">
        <v>123</v>
      </c>
      <c r="V8" s="18" t="s">
        <v>122</v>
      </c>
    </row>
    <row r="9" spans="2:22" x14ac:dyDescent="0.3">
      <c r="B9" s="21">
        <v>45432</v>
      </c>
      <c r="C9" s="1" t="s">
        <v>12</v>
      </c>
      <c r="D9" t="s">
        <v>121</v>
      </c>
      <c r="E9" t="s">
        <v>78</v>
      </c>
      <c r="F9" s="2">
        <v>800</v>
      </c>
      <c r="I9" t="s">
        <v>78</v>
      </c>
      <c r="J9" s="16" cm="1">
        <f t="array" aca="1" ref="J9:J20" ca="1">ABS(SUMIF(E9:F80,I9:I20,F9:F80))</f>
        <v>960</v>
      </c>
      <c r="K9" s="17">
        <f t="shared" ref="K9:K20" ca="1" si="0">J9/$J$22</f>
        <v>6.8721831207728915E-2</v>
      </c>
      <c r="M9" s="21">
        <v>45663</v>
      </c>
      <c r="N9" s="1" t="s">
        <v>12</v>
      </c>
      <c r="O9" t="s">
        <v>120</v>
      </c>
      <c r="P9" t="s">
        <v>10</v>
      </c>
      <c r="Q9" s="2">
        <v>1500</v>
      </c>
      <c r="T9" t="s">
        <v>78</v>
      </c>
      <c r="U9" s="16" cm="1">
        <f t="array" aca="1" ref="U9:U24" ca="1">ABS(SUMIF(P9:Q80,T9:T24,Q9:Q80))</f>
        <v>0</v>
      </c>
      <c r="V9" s="17">
        <f ca="1">U9/$J$22</f>
        <v>0</v>
      </c>
    </row>
    <row r="10" spans="2:22" x14ac:dyDescent="0.3">
      <c r="B10" s="21">
        <v>45432</v>
      </c>
      <c r="C10" s="1" t="s">
        <v>2</v>
      </c>
      <c r="D10" t="s">
        <v>25</v>
      </c>
      <c r="E10" t="s">
        <v>24</v>
      </c>
      <c r="F10" s="2">
        <v>-800</v>
      </c>
      <c r="I10" t="s">
        <v>10</v>
      </c>
      <c r="J10" s="16">
        <f ca="1"/>
        <v>11489.5</v>
      </c>
      <c r="K10" s="17">
        <f t="shared" ca="1" si="0"/>
        <v>0.82247862464708477</v>
      </c>
      <c r="M10" s="21">
        <v>45663</v>
      </c>
      <c r="N10" s="1" t="s">
        <v>2</v>
      </c>
      <c r="O10" t="s">
        <v>119</v>
      </c>
      <c r="P10" t="s">
        <v>13</v>
      </c>
      <c r="Q10" s="2">
        <v>-240</v>
      </c>
      <c r="T10" t="s">
        <v>10</v>
      </c>
      <c r="U10" s="16">
        <f ca="1"/>
        <v>16420</v>
      </c>
      <c r="V10" s="17">
        <f ca="1">U10/$U$26</f>
        <v>0.9911610407311654</v>
      </c>
    </row>
    <row r="11" spans="2:22" collapsed="1" x14ac:dyDescent="0.3">
      <c r="B11" s="21">
        <v>45452</v>
      </c>
      <c r="C11" s="1" t="s">
        <v>12</v>
      </c>
      <c r="D11" t="s">
        <v>118</v>
      </c>
      <c r="E11" t="s">
        <v>10</v>
      </c>
      <c r="F11" s="2">
        <v>407.5</v>
      </c>
      <c r="I11" t="s">
        <v>95</v>
      </c>
      <c r="J11" s="16">
        <f ca="1"/>
        <v>1458</v>
      </c>
      <c r="K11" s="17">
        <f t="shared" ca="1" si="0"/>
        <v>0.10437128114673828</v>
      </c>
      <c r="M11" s="21">
        <v>45664</v>
      </c>
      <c r="N11" s="1" t="s">
        <v>2</v>
      </c>
      <c r="O11" t="s">
        <v>54</v>
      </c>
      <c r="P11" t="s">
        <v>27</v>
      </c>
      <c r="Q11" s="2">
        <v>-200</v>
      </c>
      <c r="T11" t="s">
        <v>95</v>
      </c>
      <c r="U11" s="16">
        <f ca="1"/>
        <v>90</v>
      </c>
      <c r="V11" s="17">
        <f ca="1">U11/$J$22</f>
        <v>6.4426716757245853E-3</v>
      </c>
    </row>
    <row r="12" spans="2:22" x14ac:dyDescent="0.3">
      <c r="B12" s="21">
        <v>45465</v>
      </c>
      <c r="C12" s="1" t="s">
        <v>2</v>
      </c>
      <c r="D12" t="s">
        <v>117</v>
      </c>
      <c r="E12" t="s">
        <v>24</v>
      </c>
      <c r="F12" s="2">
        <v>-100</v>
      </c>
      <c r="I12" t="s">
        <v>21</v>
      </c>
      <c r="J12" s="16">
        <f ca="1"/>
        <v>61.86</v>
      </c>
      <c r="K12" s="15">
        <f t="shared" ca="1" si="0"/>
        <v>4.4282629984480314E-3</v>
      </c>
      <c r="M12" s="21">
        <v>45668</v>
      </c>
      <c r="N12" s="1" t="s">
        <v>12</v>
      </c>
      <c r="O12" t="s">
        <v>116</v>
      </c>
      <c r="P12" t="s">
        <v>10</v>
      </c>
      <c r="Q12" s="2">
        <v>1750</v>
      </c>
      <c r="T12" t="s">
        <v>21</v>
      </c>
      <c r="U12" s="16">
        <f ca="1"/>
        <v>56.43</v>
      </c>
      <c r="V12" s="15">
        <f ca="1">U12/$J$22</f>
        <v>4.0395551406793148E-3</v>
      </c>
    </row>
    <row r="13" spans="2:22" x14ac:dyDescent="0.3">
      <c r="B13" s="21">
        <v>45497</v>
      </c>
      <c r="C13" s="1" t="s">
        <v>12</v>
      </c>
      <c r="D13" t="s">
        <v>115</v>
      </c>
      <c r="E13" t="s">
        <v>95</v>
      </c>
      <c r="F13" s="2">
        <v>1020</v>
      </c>
      <c r="I13" t="s">
        <v>13</v>
      </c>
      <c r="J13" s="13">
        <f ca="1"/>
        <v>100</v>
      </c>
      <c r="K13" s="12">
        <f t="shared" ca="1" si="0"/>
        <v>7.1585240841384283E-3</v>
      </c>
      <c r="L13" s="13"/>
      <c r="M13" s="21">
        <v>45671</v>
      </c>
      <c r="N13" s="1" t="s">
        <v>2</v>
      </c>
      <c r="O13" t="s">
        <v>114</v>
      </c>
      <c r="P13" t="s">
        <v>44</v>
      </c>
      <c r="Q13" s="2">
        <v>-300</v>
      </c>
      <c r="T13" t="s">
        <v>13</v>
      </c>
      <c r="U13" s="13">
        <f ca="1"/>
        <v>654</v>
      </c>
      <c r="V13" s="12">
        <f t="shared" ref="V13:V24" ca="1" si="1">U13/$U$26</f>
        <v>3.9477425130218159E-2</v>
      </c>
    </row>
    <row r="14" spans="2:22" x14ac:dyDescent="0.3">
      <c r="B14" s="21">
        <v>45505</v>
      </c>
      <c r="C14" s="1" t="s">
        <v>2</v>
      </c>
      <c r="D14" t="s">
        <v>113</v>
      </c>
      <c r="E14" t="s">
        <v>29</v>
      </c>
      <c r="F14" s="2">
        <v>-1020</v>
      </c>
      <c r="I14" t="s">
        <v>53</v>
      </c>
      <c r="J14" s="13">
        <f ca="1"/>
        <v>1000</v>
      </c>
      <c r="K14" s="12">
        <f t="shared" ca="1" si="0"/>
        <v>7.158524084138429E-2</v>
      </c>
      <c r="L14" s="13"/>
      <c r="M14" s="21">
        <v>45671</v>
      </c>
      <c r="N14" s="1" t="s">
        <v>2</v>
      </c>
      <c r="O14" t="s">
        <v>112</v>
      </c>
      <c r="P14" t="s">
        <v>31</v>
      </c>
      <c r="Q14" s="2">
        <v>-122.73</v>
      </c>
      <c r="T14" t="s">
        <v>53</v>
      </c>
      <c r="U14" s="13">
        <f ca="1"/>
        <v>600</v>
      </c>
      <c r="V14" s="12">
        <f t="shared" ca="1" si="1"/>
        <v>3.6217821220383632E-2</v>
      </c>
    </row>
    <row r="15" spans="2:22" x14ac:dyDescent="0.3">
      <c r="B15" s="21">
        <v>45522</v>
      </c>
      <c r="C15" s="1" t="s">
        <v>2</v>
      </c>
      <c r="D15" t="s">
        <v>111</v>
      </c>
      <c r="E15" t="s">
        <v>0</v>
      </c>
      <c r="F15" s="2">
        <v>-119</v>
      </c>
      <c r="I15" t="s">
        <v>27</v>
      </c>
      <c r="J15" s="13">
        <f ca="1"/>
        <v>100</v>
      </c>
      <c r="K15" s="12">
        <f t="shared" ca="1" si="0"/>
        <v>7.1585240841384283E-3</v>
      </c>
      <c r="L15" s="13"/>
      <c r="M15" s="21">
        <v>45671</v>
      </c>
      <c r="N15" s="1" t="s">
        <v>2</v>
      </c>
      <c r="O15" t="s">
        <v>110</v>
      </c>
      <c r="P15" t="s">
        <v>53</v>
      </c>
      <c r="Q15" s="2">
        <v>-400</v>
      </c>
      <c r="T15" t="s">
        <v>27</v>
      </c>
      <c r="U15" s="13">
        <f ca="1"/>
        <v>550</v>
      </c>
      <c r="V15" s="12">
        <f t="shared" ca="1" si="1"/>
        <v>3.3199669452018327E-2</v>
      </c>
    </row>
    <row r="16" spans="2:22" x14ac:dyDescent="0.3">
      <c r="B16" s="21">
        <v>45520</v>
      </c>
      <c r="C16" s="1" t="s">
        <v>12</v>
      </c>
      <c r="D16" t="s">
        <v>109</v>
      </c>
      <c r="E16" t="s">
        <v>10</v>
      </c>
      <c r="F16" s="2">
        <v>1200</v>
      </c>
      <c r="I16" t="s">
        <v>24</v>
      </c>
      <c r="J16" s="13">
        <f ca="1"/>
        <v>2906.7799999999997</v>
      </c>
      <c r="K16" s="12">
        <f t="shared" ca="1" si="0"/>
        <v>0.20808254637291898</v>
      </c>
      <c r="L16" s="13"/>
      <c r="M16" s="21">
        <v>45675</v>
      </c>
      <c r="N16" s="1" t="s">
        <v>2</v>
      </c>
      <c r="O16" t="s">
        <v>108</v>
      </c>
      <c r="P16" t="s">
        <v>0</v>
      </c>
      <c r="Q16" s="2">
        <v>-19</v>
      </c>
      <c r="T16" t="s">
        <v>24</v>
      </c>
      <c r="U16" s="13">
        <f ca="1"/>
        <v>2550</v>
      </c>
      <c r="V16" s="12">
        <f t="shared" ca="1" si="1"/>
        <v>0.15392574018663044</v>
      </c>
    </row>
    <row r="17" spans="2:26" x14ac:dyDescent="0.3">
      <c r="B17" s="21">
        <v>45525</v>
      </c>
      <c r="C17" s="1" t="s">
        <v>2</v>
      </c>
      <c r="D17" t="s">
        <v>107</v>
      </c>
      <c r="E17" t="s">
        <v>24</v>
      </c>
      <c r="F17" s="2">
        <v>-100</v>
      </c>
      <c r="I17" t="s">
        <v>44</v>
      </c>
      <c r="J17" s="13">
        <f ca="1"/>
        <v>850</v>
      </c>
      <c r="K17" s="12">
        <f t="shared" ca="1" si="0"/>
        <v>6.0847454715176642E-2</v>
      </c>
      <c r="L17" s="13"/>
      <c r="M17" s="21">
        <v>45675</v>
      </c>
      <c r="N17" s="1" t="s">
        <v>2</v>
      </c>
      <c r="O17" t="s">
        <v>106</v>
      </c>
      <c r="P17" t="s">
        <v>59</v>
      </c>
      <c r="Q17" s="2">
        <v>-227.19</v>
      </c>
      <c r="T17" t="s">
        <v>44</v>
      </c>
      <c r="U17" s="13">
        <f ca="1"/>
        <v>300</v>
      </c>
      <c r="V17" s="12">
        <f t="shared" ca="1" si="1"/>
        <v>1.8108910610191816E-2</v>
      </c>
    </row>
    <row r="18" spans="2:26" x14ac:dyDescent="0.3">
      <c r="B18" s="21">
        <v>45525</v>
      </c>
      <c r="C18" s="1" t="s">
        <v>2</v>
      </c>
      <c r="D18" t="s">
        <v>105</v>
      </c>
      <c r="E18" t="s">
        <v>24</v>
      </c>
      <c r="F18" s="2">
        <v>-500</v>
      </c>
      <c r="I18" t="s">
        <v>29</v>
      </c>
      <c r="J18" s="13">
        <f ca="1"/>
        <v>3013</v>
      </c>
      <c r="K18" s="12">
        <f t="shared" ca="1" si="0"/>
        <v>0.21568633065509085</v>
      </c>
      <c r="L18" s="13"/>
      <c r="M18" s="21">
        <v>45681</v>
      </c>
      <c r="N18" s="1" t="s">
        <v>2</v>
      </c>
      <c r="O18" t="s">
        <v>104</v>
      </c>
      <c r="P18" t="s">
        <v>24</v>
      </c>
      <c r="Q18" s="2">
        <v>-1900</v>
      </c>
      <c r="T18" t="s">
        <v>29</v>
      </c>
      <c r="U18" s="13">
        <f ca="1"/>
        <v>0</v>
      </c>
      <c r="V18" s="12">
        <f t="shared" ca="1" si="1"/>
        <v>0</v>
      </c>
    </row>
    <row r="19" spans="2:26" x14ac:dyDescent="0.3">
      <c r="B19" s="21">
        <v>45525</v>
      </c>
      <c r="C19" s="1" t="s">
        <v>2</v>
      </c>
      <c r="D19" t="s">
        <v>54</v>
      </c>
      <c r="E19" t="s">
        <v>53</v>
      </c>
      <c r="F19" s="2">
        <v>-500</v>
      </c>
      <c r="I19" t="s">
        <v>42</v>
      </c>
      <c r="J19" s="13">
        <f ca="1"/>
        <v>150</v>
      </c>
      <c r="K19" s="12">
        <f t="shared" ca="1" si="0"/>
        <v>1.0737786126207642E-2</v>
      </c>
      <c r="L19" s="13"/>
      <c r="M19" s="21">
        <v>45681</v>
      </c>
      <c r="N19" s="1" t="s">
        <v>2</v>
      </c>
      <c r="O19" t="s">
        <v>103</v>
      </c>
      <c r="P19" t="s">
        <v>24</v>
      </c>
      <c r="Q19" s="2">
        <v>-300</v>
      </c>
      <c r="T19" t="s">
        <v>42</v>
      </c>
      <c r="U19" s="13">
        <f ca="1"/>
        <v>700</v>
      </c>
      <c r="V19" s="12">
        <f t="shared" ca="1" si="1"/>
        <v>4.2254124757114236E-2</v>
      </c>
    </row>
    <row r="20" spans="2:26" x14ac:dyDescent="0.3">
      <c r="B20" s="21">
        <v>45525</v>
      </c>
      <c r="C20" s="1" t="s">
        <v>12</v>
      </c>
      <c r="D20" t="s">
        <v>102</v>
      </c>
      <c r="E20" t="s">
        <v>95</v>
      </c>
      <c r="F20" s="2">
        <v>140</v>
      </c>
      <c r="I20" t="s">
        <v>0</v>
      </c>
      <c r="J20" s="13">
        <f ca="1"/>
        <v>221</v>
      </c>
      <c r="K20" s="12">
        <f t="shared" ca="1" si="0"/>
        <v>1.5820338225945928E-2</v>
      </c>
      <c r="M20" s="21">
        <v>45681</v>
      </c>
      <c r="N20" s="1" t="s">
        <v>2</v>
      </c>
      <c r="O20" t="s">
        <v>101</v>
      </c>
      <c r="P20" t="s">
        <v>93</v>
      </c>
      <c r="Q20" s="2">
        <v>-81.98</v>
      </c>
      <c r="T20" t="s">
        <v>0</v>
      </c>
      <c r="U20" s="13">
        <f ca="1"/>
        <v>880.33</v>
      </c>
      <c r="V20" s="12">
        <f t="shared" ca="1" si="1"/>
        <v>5.313939092490054E-2</v>
      </c>
      <c r="Z20" s="14"/>
    </row>
    <row r="21" spans="2:26" x14ac:dyDescent="0.3">
      <c r="B21" s="21">
        <v>45526</v>
      </c>
      <c r="C21" s="1" t="s">
        <v>12</v>
      </c>
      <c r="D21" t="s">
        <v>100</v>
      </c>
      <c r="E21" t="s">
        <v>95</v>
      </c>
      <c r="F21" s="2">
        <v>60</v>
      </c>
      <c r="M21" s="21">
        <v>45681</v>
      </c>
      <c r="N21" s="1" t="s">
        <v>2</v>
      </c>
      <c r="O21" t="s">
        <v>99</v>
      </c>
      <c r="P21" t="s">
        <v>93</v>
      </c>
      <c r="Q21" s="2">
        <v>-50</v>
      </c>
      <c r="T21" t="s">
        <v>31</v>
      </c>
      <c r="U21" s="13">
        <f ca="1"/>
        <v>509.01</v>
      </c>
      <c r="V21" s="12">
        <f t="shared" ca="1" si="1"/>
        <v>3.0725388632312452E-2</v>
      </c>
    </row>
    <row r="22" spans="2:26" x14ac:dyDescent="0.3">
      <c r="B22" s="21">
        <v>45526</v>
      </c>
      <c r="C22" s="1" t="s">
        <v>12</v>
      </c>
      <c r="D22" t="s">
        <v>98</v>
      </c>
      <c r="E22" t="s">
        <v>95</v>
      </c>
      <c r="F22" s="2">
        <v>58</v>
      </c>
      <c r="I22" s="9" t="s">
        <v>87</v>
      </c>
      <c r="J22" s="8">
        <f ca="1">SUM(J9:J12)</f>
        <v>13969.36</v>
      </c>
      <c r="K22" s="7">
        <f ca="1">SUM(K9:K11)</f>
        <v>0.99557173700155199</v>
      </c>
      <c r="M22" s="21">
        <v>45681</v>
      </c>
      <c r="N22" s="1" t="s">
        <v>12</v>
      </c>
      <c r="O22" t="s">
        <v>97</v>
      </c>
      <c r="P22" t="s">
        <v>95</v>
      </c>
      <c r="Q22" s="2">
        <v>90</v>
      </c>
      <c r="T22" t="s">
        <v>59</v>
      </c>
      <c r="U22" s="13">
        <f ca="1"/>
        <v>307.09000000000003</v>
      </c>
      <c r="V22" s="12">
        <f t="shared" ca="1" si="1"/>
        <v>1.8536884530946016E-2</v>
      </c>
    </row>
    <row r="23" spans="2:26" x14ac:dyDescent="0.3">
      <c r="B23" s="21">
        <v>45535</v>
      </c>
      <c r="C23" s="1" t="s">
        <v>12</v>
      </c>
      <c r="D23" t="s">
        <v>96</v>
      </c>
      <c r="E23" t="s">
        <v>95</v>
      </c>
      <c r="F23" s="2">
        <v>180</v>
      </c>
      <c r="I23" s="9" t="s">
        <v>85</v>
      </c>
      <c r="J23" s="11">
        <f ca="1">SUM(J13:J20)</f>
        <v>8340.7799999999988</v>
      </c>
      <c r="K23" s="10">
        <f ca="1">SUM(K13:K20)</f>
        <v>0.59707674510500131</v>
      </c>
      <c r="M23" s="21">
        <v>45694</v>
      </c>
      <c r="N23" s="1" t="s">
        <v>2</v>
      </c>
      <c r="O23" t="s">
        <v>94</v>
      </c>
      <c r="P23" t="s">
        <v>24</v>
      </c>
      <c r="Q23" s="2">
        <v>-200</v>
      </c>
      <c r="T23" t="s">
        <v>93</v>
      </c>
      <c r="U23" s="13">
        <f ca="1"/>
        <v>131.98000000000002</v>
      </c>
      <c r="V23" s="12">
        <f t="shared" ca="1" si="1"/>
        <v>7.9667134077770537E-3</v>
      </c>
    </row>
    <row r="24" spans="2:26" x14ac:dyDescent="0.3">
      <c r="B24" s="21">
        <v>45546</v>
      </c>
      <c r="C24" s="1" t="s">
        <v>12</v>
      </c>
      <c r="D24" t="s">
        <v>48</v>
      </c>
      <c r="E24" t="s">
        <v>10</v>
      </c>
      <c r="F24" s="2">
        <v>750</v>
      </c>
      <c r="I24" s="9" t="s">
        <v>82</v>
      </c>
      <c r="J24" s="8">
        <f ca="1">J22-J23</f>
        <v>5628.5800000000017</v>
      </c>
      <c r="K24" s="7">
        <f ca="1">J24/J22</f>
        <v>0.40292325489499886</v>
      </c>
      <c r="M24" s="21">
        <v>45695</v>
      </c>
      <c r="N24" s="1" t="s">
        <v>2</v>
      </c>
      <c r="O24" t="s">
        <v>38</v>
      </c>
      <c r="P24" t="s">
        <v>13</v>
      </c>
      <c r="Q24" s="2">
        <v>-154</v>
      </c>
      <c r="T24" t="s">
        <v>3</v>
      </c>
      <c r="U24" s="13">
        <f ca="1"/>
        <v>10799.620000000004</v>
      </c>
      <c r="V24" s="12">
        <f t="shared" ca="1" si="1"/>
        <v>0.65189784401346607</v>
      </c>
    </row>
    <row r="25" spans="2:26" x14ac:dyDescent="0.3">
      <c r="B25" s="21">
        <v>45546</v>
      </c>
      <c r="C25" s="1" t="s">
        <v>2</v>
      </c>
      <c r="D25" t="s">
        <v>92</v>
      </c>
      <c r="E25" t="s">
        <v>29</v>
      </c>
      <c r="F25" s="2">
        <v>-160</v>
      </c>
      <c r="M25" s="21">
        <v>45698</v>
      </c>
      <c r="N25" s="1" t="s">
        <v>91</v>
      </c>
      <c r="O25" t="s">
        <v>90</v>
      </c>
      <c r="P25" t="s">
        <v>42</v>
      </c>
      <c r="Q25" s="2">
        <v>-400</v>
      </c>
    </row>
    <row r="26" spans="2:26" x14ac:dyDescent="0.3">
      <c r="B26" s="21">
        <v>45546</v>
      </c>
      <c r="C26" s="1" t="s">
        <v>12</v>
      </c>
      <c r="D26" t="s">
        <v>89</v>
      </c>
      <c r="E26" t="s">
        <v>78</v>
      </c>
      <c r="F26" s="2">
        <v>40</v>
      </c>
      <c r="M26" s="21">
        <v>45706</v>
      </c>
      <c r="N26" s="1" t="s">
        <v>12</v>
      </c>
      <c r="O26" t="s">
        <v>88</v>
      </c>
      <c r="P26" t="s">
        <v>10</v>
      </c>
      <c r="Q26" s="2">
        <v>1200</v>
      </c>
      <c r="T26" s="9" t="s">
        <v>87</v>
      </c>
      <c r="U26" s="8">
        <f ca="1">SUM(U9:U12)</f>
        <v>16566.43</v>
      </c>
      <c r="V26" s="7">
        <f ca="1">SUM(V9:V12)</f>
        <v>1.0016432675475693</v>
      </c>
    </row>
    <row r="27" spans="2:26" x14ac:dyDescent="0.3">
      <c r="B27" s="21">
        <v>45547</v>
      </c>
      <c r="C27" s="1" t="s">
        <v>12</v>
      </c>
      <c r="D27" t="s">
        <v>86</v>
      </c>
      <c r="E27" t="s">
        <v>78</v>
      </c>
      <c r="F27" s="2">
        <v>40</v>
      </c>
      <c r="M27" s="21">
        <v>45706</v>
      </c>
      <c r="N27" s="1" t="s">
        <v>2</v>
      </c>
      <c r="O27" t="s">
        <v>49</v>
      </c>
      <c r="P27" t="s">
        <v>0</v>
      </c>
      <c r="Q27" s="2">
        <v>-188.44</v>
      </c>
      <c r="T27" s="9" t="s">
        <v>85</v>
      </c>
      <c r="U27" s="11">
        <f ca="1">SUM(U13:U24)</f>
        <v>17982.030000000006</v>
      </c>
      <c r="V27" s="10">
        <f ca="1">SUM(V13:V24)</f>
        <v>1.0854499128659587</v>
      </c>
    </row>
    <row r="28" spans="2:26" x14ac:dyDescent="0.3">
      <c r="B28" s="21">
        <v>45548</v>
      </c>
      <c r="C28" s="1" t="s">
        <v>12</v>
      </c>
      <c r="D28" t="s">
        <v>84</v>
      </c>
      <c r="E28" t="s">
        <v>78</v>
      </c>
      <c r="F28" s="2">
        <v>40</v>
      </c>
      <c r="M28" s="21">
        <v>45718</v>
      </c>
      <c r="N28" s="1" t="s">
        <v>2</v>
      </c>
      <c r="O28" t="s">
        <v>83</v>
      </c>
      <c r="P28" t="s">
        <v>53</v>
      </c>
      <c r="Q28" s="2">
        <v>-200</v>
      </c>
      <c r="T28" s="9" t="s">
        <v>82</v>
      </c>
      <c r="U28" s="8">
        <f ca="1">(U26-U27)+J24</f>
        <v>4212.9799999999959</v>
      </c>
      <c r="V28" s="7">
        <f ca="1">U28/U26</f>
        <v>0.25430826074175278</v>
      </c>
    </row>
    <row r="29" spans="2:26" x14ac:dyDescent="0.3">
      <c r="B29" s="21">
        <v>45548</v>
      </c>
      <c r="C29" s="1" t="s">
        <v>2</v>
      </c>
      <c r="D29" t="s">
        <v>81</v>
      </c>
      <c r="E29" t="s">
        <v>29</v>
      </c>
      <c r="F29" s="2">
        <v>-546</v>
      </c>
      <c r="M29" s="21">
        <v>45718</v>
      </c>
      <c r="N29" s="1" t="s">
        <v>2</v>
      </c>
      <c r="O29" t="s">
        <v>80</v>
      </c>
      <c r="P29" t="s">
        <v>27</v>
      </c>
      <c r="Q29" s="2">
        <v>-250</v>
      </c>
    </row>
    <row r="30" spans="2:26" x14ac:dyDescent="0.3">
      <c r="B30" s="21">
        <v>45548</v>
      </c>
      <c r="C30" s="1" t="s">
        <v>12</v>
      </c>
      <c r="D30" t="s">
        <v>79</v>
      </c>
      <c r="E30" t="s">
        <v>78</v>
      </c>
      <c r="F30" s="2">
        <v>40</v>
      </c>
      <c r="M30" s="21">
        <v>45721</v>
      </c>
      <c r="N30" s="1" t="s">
        <v>2</v>
      </c>
      <c r="O30" t="s">
        <v>77</v>
      </c>
      <c r="P30" t="s">
        <v>24</v>
      </c>
      <c r="Q30" s="2">
        <v>-150</v>
      </c>
      <c r="T30" s="6" t="s">
        <v>76</v>
      </c>
      <c r="U30" s="6"/>
      <c r="V30" s="6"/>
    </row>
    <row r="31" spans="2:26" x14ac:dyDescent="0.3">
      <c r="B31" s="21">
        <v>45551</v>
      </c>
      <c r="C31" s="1" t="s">
        <v>12</v>
      </c>
      <c r="D31" t="s">
        <v>75</v>
      </c>
      <c r="E31" t="s">
        <v>10</v>
      </c>
      <c r="F31" s="2">
        <v>2232</v>
      </c>
      <c r="M31" s="21">
        <v>45734</v>
      </c>
      <c r="N31" s="1" t="s">
        <v>2</v>
      </c>
      <c r="O31" t="s">
        <v>49</v>
      </c>
      <c r="P31" t="s">
        <v>0</v>
      </c>
      <c r="Q31" s="2">
        <v>-299.77999999999997</v>
      </c>
      <c r="U31" s="2"/>
      <c r="V31" s="5"/>
    </row>
    <row r="32" spans="2:26" x14ac:dyDescent="0.3">
      <c r="B32" s="21">
        <v>45551</v>
      </c>
      <c r="C32" s="1" t="s">
        <v>2</v>
      </c>
      <c r="D32" t="s">
        <v>74</v>
      </c>
      <c r="E32" t="s">
        <v>29</v>
      </c>
      <c r="F32" s="2">
        <v>-70</v>
      </c>
      <c r="M32" s="21">
        <v>45734</v>
      </c>
      <c r="N32" s="1" t="s">
        <v>12</v>
      </c>
      <c r="O32" t="s">
        <v>21</v>
      </c>
      <c r="P32" t="s">
        <v>21</v>
      </c>
      <c r="Q32" s="2">
        <v>56.43</v>
      </c>
      <c r="U32" s="2"/>
      <c r="V32" s="5"/>
    </row>
    <row r="33" spans="2:22" x14ac:dyDescent="0.3">
      <c r="B33" s="21">
        <v>45551</v>
      </c>
      <c r="C33" s="1" t="s">
        <v>2</v>
      </c>
      <c r="D33" t="s">
        <v>58</v>
      </c>
      <c r="E33" t="s">
        <v>0</v>
      </c>
      <c r="F33" s="2">
        <v>-56.02</v>
      </c>
      <c r="M33" s="21">
        <v>45736</v>
      </c>
      <c r="N33" s="1" t="s">
        <v>12</v>
      </c>
      <c r="O33" t="s">
        <v>73</v>
      </c>
      <c r="P33" t="s">
        <v>10</v>
      </c>
      <c r="Q33" s="2">
        <v>2780</v>
      </c>
      <c r="U33" s="2"/>
      <c r="V33" s="5"/>
    </row>
    <row r="34" spans="2:22" x14ac:dyDescent="0.3">
      <c r="B34" s="21">
        <v>45551</v>
      </c>
      <c r="C34" s="1" t="s">
        <v>2</v>
      </c>
      <c r="D34" t="s">
        <v>72</v>
      </c>
      <c r="E34" t="s">
        <v>44</v>
      </c>
      <c r="F34" s="2">
        <v>-300</v>
      </c>
      <c r="M34" s="21">
        <v>45740</v>
      </c>
      <c r="N34" s="1" t="s">
        <v>12</v>
      </c>
      <c r="O34" t="s">
        <v>71</v>
      </c>
      <c r="P34" t="s">
        <v>10</v>
      </c>
      <c r="Q34" s="2">
        <v>3000</v>
      </c>
      <c r="U34" s="2"/>
      <c r="V34" s="5"/>
    </row>
    <row r="35" spans="2:22" x14ac:dyDescent="0.3">
      <c r="B35" s="21">
        <v>45552</v>
      </c>
      <c r="C35" s="1" t="s">
        <v>2</v>
      </c>
      <c r="D35" t="s">
        <v>70</v>
      </c>
      <c r="E35" t="s">
        <v>29</v>
      </c>
      <c r="F35" s="2">
        <v>-405</v>
      </c>
      <c r="M35" s="21">
        <v>45741</v>
      </c>
      <c r="N35" s="1" t="s">
        <v>2</v>
      </c>
      <c r="O35" t="s">
        <v>69</v>
      </c>
      <c r="P35" t="s">
        <v>3</v>
      </c>
      <c r="Q35" s="2">
        <v>-3913.3</v>
      </c>
      <c r="U35" s="2"/>
      <c r="V35" s="5"/>
    </row>
    <row r="36" spans="2:22" x14ac:dyDescent="0.3">
      <c r="B36" s="21">
        <v>45555</v>
      </c>
      <c r="C36" s="1" t="s">
        <v>12</v>
      </c>
      <c r="D36" t="s">
        <v>68</v>
      </c>
      <c r="E36" t="s">
        <v>10</v>
      </c>
      <c r="F36" s="2">
        <v>2700</v>
      </c>
      <c r="M36" s="21">
        <v>45741</v>
      </c>
      <c r="N36" s="1" t="s">
        <v>2</v>
      </c>
      <c r="O36" t="s">
        <v>67</v>
      </c>
      <c r="P36" t="s">
        <v>3</v>
      </c>
      <c r="Q36" s="2">
        <v>-1182.6600000000001</v>
      </c>
      <c r="U36" s="2"/>
      <c r="V36" s="5"/>
    </row>
    <row r="37" spans="2:22" x14ac:dyDescent="0.3">
      <c r="B37" s="21">
        <v>45564</v>
      </c>
      <c r="C37" s="1" t="s">
        <v>2</v>
      </c>
      <c r="D37" t="s">
        <v>66</v>
      </c>
      <c r="E37" t="s">
        <v>13</v>
      </c>
      <c r="F37" s="2">
        <v>-100</v>
      </c>
      <c r="M37" s="21">
        <v>45745</v>
      </c>
      <c r="N37" s="1" t="s">
        <v>12</v>
      </c>
      <c r="O37" t="s">
        <v>65</v>
      </c>
      <c r="P37" t="s">
        <v>10</v>
      </c>
      <c r="Q37" s="2">
        <v>1350</v>
      </c>
    </row>
    <row r="38" spans="2:22" x14ac:dyDescent="0.3">
      <c r="B38" s="21">
        <v>45565</v>
      </c>
      <c r="C38" s="1" t="s">
        <v>2</v>
      </c>
      <c r="D38" t="s">
        <v>64</v>
      </c>
      <c r="E38" t="s">
        <v>44</v>
      </c>
      <c r="F38" s="2">
        <v>-250</v>
      </c>
      <c r="M38" s="21">
        <v>45752</v>
      </c>
      <c r="N38" s="1" t="s">
        <v>12</v>
      </c>
      <c r="O38" t="s">
        <v>63</v>
      </c>
      <c r="P38" t="s">
        <v>10</v>
      </c>
      <c r="Q38" s="2">
        <v>800</v>
      </c>
      <c r="T38" s="3" t="s">
        <v>26</v>
      </c>
      <c r="U38" s="4">
        <f>SUM(U31:U36)</f>
        <v>0</v>
      </c>
      <c r="V38" s="3"/>
    </row>
    <row r="39" spans="2:22" x14ac:dyDescent="0.3">
      <c r="B39" s="21">
        <v>45565</v>
      </c>
      <c r="C39" s="1" t="s">
        <v>2</v>
      </c>
      <c r="D39" t="s">
        <v>62</v>
      </c>
      <c r="E39" t="s">
        <v>42</v>
      </c>
      <c r="F39" s="2">
        <v>-150</v>
      </c>
      <c r="M39" s="21">
        <v>45752</v>
      </c>
      <c r="N39" s="1" t="s">
        <v>2</v>
      </c>
      <c r="O39" t="s">
        <v>52</v>
      </c>
      <c r="P39" t="s">
        <v>3</v>
      </c>
      <c r="Q39" s="2">
        <v>-2149.98</v>
      </c>
    </row>
    <row r="40" spans="2:22" x14ac:dyDescent="0.3">
      <c r="B40" s="21">
        <v>45568</v>
      </c>
      <c r="C40" s="1" t="s">
        <v>12</v>
      </c>
      <c r="D40" t="s">
        <v>61</v>
      </c>
      <c r="E40" t="s">
        <v>10</v>
      </c>
      <c r="F40" s="2">
        <v>1500</v>
      </c>
      <c r="M40" s="21">
        <v>45752</v>
      </c>
      <c r="N40" s="1" t="s">
        <v>2</v>
      </c>
      <c r="O40" t="s">
        <v>60</v>
      </c>
      <c r="P40" t="s">
        <v>59</v>
      </c>
      <c r="Q40" s="2">
        <v>-79.900000000000006</v>
      </c>
    </row>
    <row r="41" spans="2:22" x14ac:dyDescent="0.3">
      <c r="B41" s="21">
        <v>45576</v>
      </c>
      <c r="C41" s="1" t="s">
        <v>2</v>
      </c>
      <c r="D41" t="s">
        <v>58</v>
      </c>
      <c r="E41" t="s">
        <v>0</v>
      </c>
      <c r="F41" s="2">
        <v>-45.98</v>
      </c>
      <c r="M41" s="21">
        <v>45756</v>
      </c>
      <c r="N41" s="1" t="s">
        <v>2</v>
      </c>
      <c r="O41" t="s">
        <v>57</v>
      </c>
      <c r="P41" t="s">
        <v>0</v>
      </c>
      <c r="Q41" s="2">
        <v>-62</v>
      </c>
    </row>
    <row r="42" spans="2:22" x14ac:dyDescent="0.3">
      <c r="B42" s="21">
        <v>45579</v>
      </c>
      <c r="C42" s="1" t="s">
        <v>12</v>
      </c>
      <c r="D42" t="s">
        <v>56</v>
      </c>
      <c r="E42" t="s">
        <v>10</v>
      </c>
      <c r="F42" s="2">
        <v>1200</v>
      </c>
      <c r="M42" s="21">
        <v>45761</v>
      </c>
      <c r="N42" s="1" t="s">
        <v>12</v>
      </c>
      <c r="O42" t="s">
        <v>55</v>
      </c>
      <c r="P42" t="s">
        <v>10</v>
      </c>
      <c r="Q42" s="2">
        <v>700</v>
      </c>
    </row>
    <row r="43" spans="2:22" x14ac:dyDescent="0.3">
      <c r="B43" s="21">
        <v>45580</v>
      </c>
      <c r="C43" s="1" t="s">
        <v>2</v>
      </c>
      <c r="D43" t="s">
        <v>54</v>
      </c>
      <c r="E43" t="s">
        <v>53</v>
      </c>
      <c r="F43" s="2">
        <v>-500</v>
      </c>
      <c r="M43" s="21">
        <v>45761</v>
      </c>
      <c r="N43" s="1" t="s">
        <v>2</v>
      </c>
      <c r="O43" t="s">
        <v>52</v>
      </c>
      <c r="P43" t="s">
        <v>3</v>
      </c>
      <c r="Q43" s="2">
        <v>-699.96</v>
      </c>
      <c r="T43" s="6" t="s">
        <v>51</v>
      </c>
      <c r="U43" s="6"/>
      <c r="V43" s="6"/>
    </row>
    <row r="44" spans="2:22" x14ac:dyDescent="0.3">
      <c r="B44" s="21">
        <v>45587</v>
      </c>
      <c r="C44" s="1" t="s">
        <v>2</v>
      </c>
      <c r="D44" t="s">
        <v>50</v>
      </c>
      <c r="E44" t="s">
        <v>29</v>
      </c>
      <c r="F44" s="2">
        <v>-1044</v>
      </c>
      <c r="M44" s="21">
        <v>45765</v>
      </c>
      <c r="N44" s="1" t="s">
        <v>2</v>
      </c>
      <c r="O44" t="s">
        <v>49</v>
      </c>
      <c r="P44" t="s">
        <v>0</v>
      </c>
      <c r="Q44" s="2">
        <v>-202.11</v>
      </c>
      <c r="U44" s="2"/>
      <c r="V44" s="5"/>
    </row>
    <row r="45" spans="2:22" x14ac:dyDescent="0.3">
      <c r="B45" s="21">
        <v>45592</v>
      </c>
      <c r="C45" s="1" t="s">
        <v>12</v>
      </c>
      <c r="D45" t="s">
        <v>48</v>
      </c>
      <c r="E45" t="s">
        <v>10</v>
      </c>
      <c r="F45" s="2">
        <v>750</v>
      </c>
      <c r="M45" s="21">
        <v>45775</v>
      </c>
      <c r="N45" s="1" t="s">
        <v>2</v>
      </c>
      <c r="O45" t="s">
        <v>47</v>
      </c>
      <c r="P45" t="s">
        <v>0</v>
      </c>
      <c r="Q45" s="2">
        <v>-55</v>
      </c>
      <c r="T45" t="s">
        <v>46</v>
      </c>
      <c r="U45" s="2">
        <v>1500</v>
      </c>
      <c r="V45" s="5">
        <v>45836</v>
      </c>
    </row>
    <row r="46" spans="2:22" x14ac:dyDescent="0.3">
      <c r="B46" s="21">
        <v>45594</v>
      </c>
      <c r="C46" s="1" t="s">
        <v>2</v>
      </c>
      <c r="D46" t="s">
        <v>45</v>
      </c>
      <c r="E46" t="s">
        <v>44</v>
      </c>
      <c r="F46" s="2">
        <v>-300</v>
      </c>
      <c r="M46" s="21">
        <v>45781</v>
      </c>
      <c r="N46" s="1" t="s">
        <v>2</v>
      </c>
      <c r="O46" t="s">
        <v>43</v>
      </c>
      <c r="P46" t="s">
        <v>42</v>
      </c>
      <c r="Q46" s="2">
        <v>-300</v>
      </c>
      <c r="U46" s="2"/>
      <c r="V46" s="5"/>
    </row>
    <row r="47" spans="2:22" x14ac:dyDescent="0.3">
      <c r="B47" s="21">
        <v>45594</v>
      </c>
      <c r="C47" s="1" t="s">
        <v>2</v>
      </c>
      <c r="D47" t="s">
        <v>41</v>
      </c>
      <c r="E47" t="s">
        <v>24</v>
      </c>
      <c r="F47" s="2">
        <v>-209.04</v>
      </c>
      <c r="M47" s="21">
        <v>45786</v>
      </c>
      <c r="N47" s="1" t="s">
        <v>12</v>
      </c>
      <c r="O47" t="s">
        <v>40</v>
      </c>
      <c r="P47" t="s">
        <v>10</v>
      </c>
      <c r="Q47" s="2">
        <v>640</v>
      </c>
      <c r="U47" s="2"/>
      <c r="V47" s="5"/>
    </row>
    <row r="48" spans="2:22" x14ac:dyDescent="0.3">
      <c r="B48" s="21">
        <v>45594</v>
      </c>
      <c r="C48" s="1" t="s">
        <v>2</v>
      </c>
      <c r="D48" t="s">
        <v>39</v>
      </c>
      <c r="E48" t="s">
        <v>27</v>
      </c>
      <c r="F48" s="2">
        <v>-100</v>
      </c>
      <c r="M48" s="21">
        <v>45789</v>
      </c>
      <c r="N48" s="1" t="s">
        <v>2</v>
      </c>
      <c r="O48" t="s">
        <v>38</v>
      </c>
      <c r="P48" t="s">
        <v>13</v>
      </c>
      <c r="Q48" s="2">
        <v>-150</v>
      </c>
    </row>
    <row r="49" spans="2:22" x14ac:dyDescent="0.3">
      <c r="B49" s="21">
        <v>45594</v>
      </c>
      <c r="C49" s="1" t="s">
        <v>2</v>
      </c>
      <c r="D49" t="s">
        <v>37</v>
      </c>
      <c r="E49" t="s">
        <v>24</v>
      </c>
      <c r="F49" s="2">
        <v>-397.74</v>
      </c>
      <c r="M49" s="21">
        <v>45796</v>
      </c>
      <c r="N49" s="1" t="s">
        <v>2</v>
      </c>
      <c r="O49" t="s">
        <v>36</v>
      </c>
      <c r="P49" t="s">
        <v>31</v>
      </c>
      <c r="Q49" s="2">
        <v>-122.03</v>
      </c>
    </row>
    <row r="50" spans="2:22" x14ac:dyDescent="0.3">
      <c r="B50" s="21">
        <v>45620</v>
      </c>
      <c r="C50" s="1" t="s">
        <v>12</v>
      </c>
      <c r="D50" t="s">
        <v>35</v>
      </c>
      <c r="E50" t="s">
        <v>29</v>
      </c>
      <c r="F50" s="2">
        <v>116</v>
      </c>
      <c r="M50" s="21">
        <v>45796</v>
      </c>
      <c r="N50" s="1" t="s">
        <v>2</v>
      </c>
      <c r="O50" t="s">
        <v>34</v>
      </c>
      <c r="P50" t="s">
        <v>31</v>
      </c>
      <c r="Q50" s="2">
        <v>-133.69</v>
      </c>
    </row>
    <row r="51" spans="2:22" x14ac:dyDescent="0.3">
      <c r="B51" s="21">
        <v>45987</v>
      </c>
      <c r="C51" s="1" t="s">
        <v>12</v>
      </c>
      <c r="D51" t="s">
        <v>33</v>
      </c>
      <c r="E51" t="s">
        <v>10</v>
      </c>
      <c r="F51" s="2">
        <v>750</v>
      </c>
      <c r="M51" s="21">
        <v>45796</v>
      </c>
      <c r="N51" s="1" t="s">
        <v>2</v>
      </c>
      <c r="O51" t="s">
        <v>32</v>
      </c>
      <c r="P51" t="s">
        <v>31</v>
      </c>
      <c r="Q51" s="2">
        <v>-130.56</v>
      </c>
      <c r="U51" s="2"/>
    </row>
    <row r="52" spans="2:22" x14ac:dyDescent="0.3">
      <c r="B52" s="21">
        <v>45629</v>
      </c>
      <c r="C52" s="1" t="s">
        <v>12</v>
      </c>
      <c r="D52" t="s">
        <v>30</v>
      </c>
      <c r="E52" t="s">
        <v>29</v>
      </c>
      <c r="F52" s="2">
        <v>116</v>
      </c>
      <c r="M52" s="21">
        <v>45796</v>
      </c>
      <c r="N52" s="1" t="s">
        <v>2</v>
      </c>
      <c r="O52" t="s">
        <v>28</v>
      </c>
      <c r="P52" t="s">
        <v>27</v>
      </c>
      <c r="Q52" s="2">
        <v>-100</v>
      </c>
      <c r="T52" s="3" t="s">
        <v>26</v>
      </c>
      <c r="U52" s="4">
        <f>SUM(U44:U47)</f>
        <v>1500</v>
      </c>
      <c r="V52" s="3"/>
    </row>
    <row r="53" spans="2:22" x14ac:dyDescent="0.3">
      <c r="B53" s="21">
        <v>45640</v>
      </c>
      <c r="C53" s="1" t="s">
        <v>2</v>
      </c>
      <c r="D53" t="s">
        <v>25</v>
      </c>
      <c r="E53" t="s">
        <v>24</v>
      </c>
      <c r="F53" s="2">
        <v>-800</v>
      </c>
      <c r="M53" s="21">
        <v>45799</v>
      </c>
      <c r="N53" s="1" t="s">
        <v>12</v>
      </c>
      <c r="O53" t="s">
        <v>23</v>
      </c>
      <c r="P53" t="s">
        <v>10</v>
      </c>
      <c r="Q53" s="2">
        <v>1500</v>
      </c>
    </row>
    <row r="54" spans="2:22" x14ac:dyDescent="0.3">
      <c r="B54" s="21">
        <v>46022</v>
      </c>
      <c r="C54" s="1" t="s">
        <v>12</v>
      </c>
      <c r="D54" t="s">
        <v>22</v>
      </c>
      <c r="E54" t="s">
        <v>21</v>
      </c>
      <c r="F54" s="2">
        <v>61.86</v>
      </c>
      <c r="M54" s="21">
        <v>45802</v>
      </c>
      <c r="N54" s="1" t="s">
        <v>2</v>
      </c>
      <c r="O54" t="s">
        <v>20</v>
      </c>
      <c r="P54" t="s">
        <v>3</v>
      </c>
      <c r="Q54" s="2">
        <v>-275.62</v>
      </c>
    </row>
    <row r="55" spans="2:22" x14ac:dyDescent="0.3">
      <c r="M55" s="21">
        <v>45802</v>
      </c>
      <c r="N55" s="1" t="s">
        <v>2</v>
      </c>
      <c r="O55" t="s">
        <v>19</v>
      </c>
      <c r="P55" t="s">
        <v>3</v>
      </c>
      <c r="Q55" s="2">
        <v>-275.62</v>
      </c>
    </row>
    <row r="56" spans="2:22" x14ac:dyDescent="0.3">
      <c r="B56" s="1"/>
      <c r="C56" s="1"/>
      <c r="F56" s="2"/>
      <c r="M56" s="21">
        <v>45802</v>
      </c>
      <c r="N56" s="1" t="s">
        <v>2</v>
      </c>
      <c r="O56" t="s">
        <v>18</v>
      </c>
      <c r="P56" t="s">
        <v>3</v>
      </c>
      <c r="Q56" s="2">
        <v>-275.62</v>
      </c>
    </row>
    <row r="57" spans="2:22" x14ac:dyDescent="0.3">
      <c r="B57" s="1"/>
      <c r="C57" s="1"/>
      <c r="F57" s="2"/>
      <c r="M57" s="21">
        <v>45802</v>
      </c>
      <c r="N57" s="1" t="s">
        <v>2</v>
      </c>
      <c r="O57" t="s">
        <v>17</v>
      </c>
      <c r="P57" t="s">
        <v>3</v>
      </c>
      <c r="Q57" s="2">
        <v>-275.62</v>
      </c>
    </row>
    <row r="58" spans="2:22" x14ac:dyDescent="0.3">
      <c r="B58" s="1"/>
      <c r="C58" s="1"/>
      <c r="F58" s="2"/>
      <c r="M58" s="21">
        <v>45802</v>
      </c>
      <c r="N58" s="1" t="s">
        <v>2</v>
      </c>
      <c r="O58" t="s">
        <v>16</v>
      </c>
      <c r="P58" t="s">
        <v>3</v>
      </c>
      <c r="Q58" s="2">
        <v>-275.62</v>
      </c>
    </row>
    <row r="59" spans="2:22" x14ac:dyDescent="0.3">
      <c r="B59" s="1"/>
      <c r="C59" s="1"/>
      <c r="F59" s="2"/>
      <c r="M59" s="21">
        <v>45802</v>
      </c>
      <c r="N59" s="1" t="s">
        <v>2</v>
      </c>
      <c r="O59" t="s">
        <v>15</v>
      </c>
      <c r="P59" t="s">
        <v>3</v>
      </c>
      <c r="Q59" s="2">
        <v>-275.62</v>
      </c>
    </row>
    <row r="60" spans="2:22" x14ac:dyDescent="0.3">
      <c r="B60" s="1"/>
      <c r="M60" s="21">
        <v>45803</v>
      </c>
      <c r="N60" s="1" t="s">
        <v>2</v>
      </c>
      <c r="O60" t="s">
        <v>14</v>
      </c>
      <c r="P60" t="s">
        <v>13</v>
      </c>
      <c r="Q60" s="2">
        <v>-110</v>
      </c>
    </row>
    <row r="61" spans="2:22" x14ac:dyDescent="0.3">
      <c r="B61" s="1"/>
      <c r="M61" s="21">
        <v>45812</v>
      </c>
      <c r="N61" s="1" t="s">
        <v>12</v>
      </c>
      <c r="O61" t="s">
        <v>11</v>
      </c>
      <c r="P61" t="s">
        <v>10</v>
      </c>
      <c r="Q61" s="2">
        <v>1200</v>
      </c>
    </row>
    <row r="62" spans="2:22" x14ac:dyDescent="0.3">
      <c r="B62" s="1"/>
      <c r="M62" s="21">
        <v>45819</v>
      </c>
      <c r="N62" s="1" t="s">
        <v>2</v>
      </c>
      <c r="O62" t="s">
        <v>9</v>
      </c>
      <c r="P62" t="s">
        <v>3</v>
      </c>
      <c r="Q62" s="2">
        <v>-200</v>
      </c>
    </row>
    <row r="63" spans="2:22" x14ac:dyDescent="0.3">
      <c r="B63" s="1"/>
      <c r="M63" s="21">
        <v>45819</v>
      </c>
      <c r="N63" s="1" t="s">
        <v>2</v>
      </c>
      <c r="O63" t="s">
        <v>8</v>
      </c>
      <c r="P63" t="s">
        <v>3</v>
      </c>
      <c r="Q63" s="2">
        <v>-200</v>
      </c>
    </row>
    <row r="64" spans="2:22" x14ac:dyDescent="0.3">
      <c r="B64" s="1"/>
      <c r="M64" s="21">
        <v>45819</v>
      </c>
      <c r="N64" s="1" t="s">
        <v>2</v>
      </c>
      <c r="O64" t="s">
        <v>7</v>
      </c>
      <c r="P64" t="s">
        <v>3</v>
      </c>
      <c r="Q64" s="2">
        <v>-200</v>
      </c>
    </row>
    <row r="65" spans="2:17" x14ac:dyDescent="0.3">
      <c r="B65" s="1"/>
      <c r="M65" s="21">
        <v>45819</v>
      </c>
      <c r="N65" s="1" t="s">
        <v>2</v>
      </c>
      <c r="O65" t="s">
        <v>6</v>
      </c>
      <c r="P65" t="s">
        <v>3</v>
      </c>
      <c r="Q65" s="2">
        <v>-200</v>
      </c>
    </row>
    <row r="66" spans="2:17" x14ac:dyDescent="0.3">
      <c r="B66" s="1"/>
      <c r="M66" s="21">
        <v>45819</v>
      </c>
      <c r="N66" s="1" t="s">
        <v>2</v>
      </c>
      <c r="O66" t="s">
        <v>5</v>
      </c>
      <c r="P66" t="s">
        <v>3</v>
      </c>
      <c r="Q66" s="2">
        <v>-200</v>
      </c>
    </row>
    <row r="67" spans="2:17" x14ac:dyDescent="0.3">
      <c r="B67" s="1"/>
      <c r="M67" s="21">
        <v>45819</v>
      </c>
      <c r="N67" s="1" t="s">
        <v>2</v>
      </c>
      <c r="O67" t="s">
        <v>4</v>
      </c>
      <c r="P67" t="s">
        <v>3</v>
      </c>
      <c r="Q67" s="2">
        <v>-200</v>
      </c>
    </row>
    <row r="68" spans="2:17" x14ac:dyDescent="0.3">
      <c r="B68" s="1"/>
      <c r="M68" s="21">
        <v>45826</v>
      </c>
      <c r="N68" s="1" t="s">
        <v>2</v>
      </c>
      <c r="O68" t="s">
        <v>1</v>
      </c>
      <c r="P68" t="s">
        <v>0</v>
      </c>
      <c r="Q68" s="2">
        <v>-54</v>
      </c>
    </row>
    <row r="69" spans="2:17" x14ac:dyDescent="0.3">
      <c r="B69" s="1"/>
    </row>
    <row r="70" spans="2:17" x14ac:dyDescent="0.3">
      <c r="B70" s="1"/>
    </row>
    <row r="71" spans="2:17" x14ac:dyDescent="0.3">
      <c r="B71" s="1"/>
    </row>
    <row r="72" spans="2:17" x14ac:dyDescent="0.3">
      <c r="B72" s="1"/>
    </row>
    <row r="73" spans="2:17" x14ac:dyDescent="0.3">
      <c r="B73" s="1"/>
    </row>
    <row r="74" spans="2:17" x14ac:dyDescent="0.3">
      <c r="B74" s="1"/>
    </row>
    <row r="75" spans="2:17" x14ac:dyDescent="0.3">
      <c r="B75" s="1"/>
    </row>
    <row r="76" spans="2:17" x14ac:dyDescent="0.3">
      <c r="B76" s="1"/>
    </row>
    <row r="77" spans="2:17" x14ac:dyDescent="0.3">
      <c r="B77" s="1"/>
    </row>
    <row r="78" spans="2:17" x14ac:dyDescent="0.3">
      <c r="B78" s="1"/>
    </row>
    <row r="79" spans="2:17" x14ac:dyDescent="0.3">
      <c r="B79" s="1"/>
    </row>
    <row r="80" spans="2:17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</sheetData>
  <autoFilter ref="M8:Q45" xr:uid="{99EA4829-38DF-467A-977B-ADFA696A9215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BA52-C4CD-407D-84F5-AF2152325DF6}">
  <dimension ref="G3:O109"/>
  <sheetViews>
    <sheetView tabSelected="1" topLeftCell="A44" workbookViewId="0">
      <selection activeCell="O52" sqref="O52"/>
    </sheetView>
  </sheetViews>
  <sheetFormatPr defaultRowHeight="14.4" x14ac:dyDescent="0.3"/>
  <cols>
    <col min="7" max="7" width="11.5546875" bestFit="1" customWidth="1"/>
  </cols>
  <sheetData>
    <row r="3" spans="7:7" ht="15" thickBot="1" x14ac:dyDescent="0.35"/>
    <row r="4" spans="7:7" ht="15" thickBot="1" x14ac:dyDescent="0.35">
      <c r="G4" s="22">
        <v>800</v>
      </c>
    </row>
    <row r="5" spans="7:7" ht="15" thickBot="1" x14ac:dyDescent="0.35">
      <c r="G5" s="22">
        <v>-800</v>
      </c>
    </row>
    <row r="6" spans="7:7" ht="15" thickBot="1" x14ac:dyDescent="0.35">
      <c r="G6" s="22">
        <v>407.5</v>
      </c>
    </row>
    <row r="7" spans="7:7" ht="15" thickBot="1" x14ac:dyDescent="0.35">
      <c r="G7" s="22">
        <v>-100</v>
      </c>
    </row>
    <row r="8" spans="7:7" ht="15" thickBot="1" x14ac:dyDescent="0.35">
      <c r="G8" s="22">
        <v>1020</v>
      </c>
    </row>
    <row r="9" spans="7:7" ht="15" thickBot="1" x14ac:dyDescent="0.35">
      <c r="G9" s="22">
        <v>-1020</v>
      </c>
    </row>
    <row r="10" spans="7:7" ht="15" thickBot="1" x14ac:dyDescent="0.35">
      <c r="G10" s="22">
        <v>-119</v>
      </c>
    </row>
    <row r="11" spans="7:7" ht="15" thickBot="1" x14ac:dyDescent="0.35">
      <c r="G11" s="22">
        <v>1200</v>
      </c>
    </row>
    <row r="12" spans="7:7" ht="15" thickBot="1" x14ac:dyDescent="0.35">
      <c r="G12" s="22">
        <v>-100</v>
      </c>
    </row>
    <row r="13" spans="7:7" ht="15" thickBot="1" x14ac:dyDescent="0.35">
      <c r="G13" s="22">
        <v>-500</v>
      </c>
    </row>
    <row r="14" spans="7:7" ht="15" thickBot="1" x14ac:dyDescent="0.35">
      <c r="G14" s="22">
        <v>-500</v>
      </c>
    </row>
    <row r="15" spans="7:7" ht="15" thickBot="1" x14ac:dyDescent="0.35">
      <c r="G15" s="22">
        <v>140</v>
      </c>
    </row>
    <row r="16" spans="7:7" ht="15" thickBot="1" x14ac:dyDescent="0.35">
      <c r="G16" s="22">
        <v>60</v>
      </c>
    </row>
    <row r="17" spans="7:7" ht="15" thickBot="1" x14ac:dyDescent="0.35">
      <c r="G17" s="22">
        <v>58</v>
      </c>
    </row>
    <row r="18" spans="7:7" ht="15" thickBot="1" x14ac:dyDescent="0.35">
      <c r="G18" s="22">
        <v>180</v>
      </c>
    </row>
    <row r="19" spans="7:7" ht="15" thickBot="1" x14ac:dyDescent="0.35">
      <c r="G19" s="22">
        <v>750</v>
      </c>
    </row>
    <row r="20" spans="7:7" ht="15" thickBot="1" x14ac:dyDescent="0.35">
      <c r="G20" s="22">
        <v>-160</v>
      </c>
    </row>
    <row r="21" spans="7:7" ht="15" thickBot="1" x14ac:dyDescent="0.35">
      <c r="G21" s="22">
        <v>40</v>
      </c>
    </row>
    <row r="22" spans="7:7" ht="15" thickBot="1" x14ac:dyDescent="0.35">
      <c r="G22" s="22">
        <v>40</v>
      </c>
    </row>
    <row r="23" spans="7:7" ht="15" thickBot="1" x14ac:dyDescent="0.35">
      <c r="G23" s="22">
        <v>40</v>
      </c>
    </row>
    <row r="24" spans="7:7" ht="15" thickBot="1" x14ac:dyDescent="0.35">
      <c r="G24" s="22">
        <v>-546</v>
      </c>
    </row>
    <row r="25" spans="7:7" ht="15" thickBot="1" x14ac:dyDescent="0.35">
      <c r="G25" s="22">
        <v>40</v>
      </c>
    </row>
    <row r="26" spans="7:7" ht="15" thickBot="1" x14ac:dyDescent="0.35">
      <c r="G26" s="22">
        <v>2232</v>
      </c>
    </row>
    <row r="27" spans="7:7" ht="15" thickBot="1" x14ac:dyDescent="0.35">
      <c r="G27" s="22">
        <v>-70</v>
      </c>
    </row>
    <row r="28" spans="7:7" ht="15" thickBot="1" x14ac:dyDescent="0.35">
      <c r="G28" s="22">
        <v>-56.02</v>
      </c>
    </row>
    <row r="29" spans="7:7" ht="15" thickBot="1" x14ac:dyDescent="0.35">
      <c r="G29" s="22">
        <v>-300</v>
      </c>
    </row>
    <row r="30" spans="7:7" ht="15" thickBot="1" x14ac:dyDescent="0.35">
      <c r="G30" s="22">
        <v>-405</v>
      </c>
    </row>
    <row r="31" spans="7:7" ht="15" thickBot="1" x14ac:dyDescent="0.35">
      <c r="G31" s="22">
        <v>2700</v>
      </c>
    </row>
    <row r="32" spans="7:7" ht="15" thickBot="1" x14ac:dyDescent="0.35">
      <c r="G32" s="22">
        <v>-100</v>
      </c>
    </row>
    <row r="33" spans="7:7" ht="15" thickBot="1" x14ac:dyDescent="0.35">
      <c r="G33" s="22">
        <v>-250</v>
      </c>
    </row>
    <row r="34" spans="7:7" ht="15" thickBot="1" x14ac:dyDescent="0.35">
      <c r="G34" s="22">
        <v>-150</v>
      </c>
    </row>
    <row r="35" spans="7:7" ht="15" thickBot="1" x14ac:dyDescent="0.35">
      <c r="G35" s="22">
        <v>1500</v>
      </c>
    </row>
    <row r="36" spans="7:7" ht="15" thickBot="1" x14ac:dyDescent="0.35">
      <c r="G36" s="22">
        <v>-45.98</v>
      </c>
    </row>
    <row r="37" spans="7:7" ht="15" thickBot="1" x14ac:dyDescent="0.35">
      <c r="G37" s="22">
        <v>1200</v>
      </c>
    </row>
    <row r="38" spans="7:7" ht="15" thickBot="1" x14ac:dyDescent="0.35">
      <c r="G38" s="22">
        <v>-500</v>
      </c>
    </row>
    <row r="39" spans="7:7" ht="15" thickBot="1" x14ac:dyDescent="0.35">
      <c r="G39" s="22">
        <v>-1044</v>
      </c>
    </row>
    <row r="40" spans="7:7" ht="15" thickBot="1" x14ac:dyDescent="0.35">
      <c r="G40" s="22">
        <v>750</v>
      </c>
    </row>
    <row r="41" spans="7:7" ht="15" thickBot="1" x14ac:dyDescent="0.35">
      <c r="G41" s="22">
        <v>-300</v>
      </c>
    </row>
    <row r="42" spans="7:7" ht="15" thickBot="1" x14ac:dyDescent="0.35">
      <c r="G42" s="22">
        <v>-209.04</v>
      </c>
    </row>
    <row r="43" spans="7:7" ht="15" thickBot="1" x14ac:dyDescent="0.35">
      <c r="G43" s="22">
        <v>-100</v>
      </c>
    </row>
    <row r="44" spans="7:7" ht="15" thickBot="1" x14ac:dyDescent="0.35">
      <c r="G44" s="22">
        <v>-397.74</v>
      </c>
    </row>
    <row r="45" spans="7:7" ht="15" thickBot="1" x14ac:dyDescent="0.35">
      <c r="G45" s="22">
        <v>116</v>
      </c>
    </row>
    <row r="46" spans="7:7" ht="15" thickBot="1" x14ac:dyDescent="0.35">
      <c r="G46" s="22">
        <v>750</v>
      </c>
    </row>
    <row r="47" spans="7:7" ht="15" thickBot="1" x14ac:dyDescent="0.35">
      <c r="G47" s="22">
        <v>116</v>
      </c>
    </row>
    <row r="48" spans="7:7" ht="15" thickBot="1" x14ac:dyDescent="0.35">
      <c r="G48" s="22">
        <v>-800</v>
      </c>
    </row>
    <row r="49" spans="7:15" ht="15" thickBot="1" x14ac:dyDescent="0.35">
      <c r="G49" s="22">
        <v>61.86</v>
      </c>
    </row>
    <row r="50" spans="7:15" ht="15" thickBot="1" x14ac:dyDescent="0.35">
      <c r="G50" s="22">
        <v>1500</v>
      </c>
    </row>
    <row r="51" spans="7:15" ht="15" thickBot="1" x14ac:dyDescent="0.35">
      <c r="G51" s="22">
        <v>-240</v>
      </c>
    </row>
    <row r="52" spans="7:15" ht="15" thickBot="1" x14ac:dyDescent="0.35">
      <c r="G52" s="22">
        <v>-200</v>
      </c>
      <c r="O52">
        <f>100/6</f>
        <v>16.666666666666668</v>
      </c>
    </row>
    <row r="53" spans="7:15" ht="15" thickBot="1" x14ac:dyDescent="0.35">
      <c r="G53" s="22">
        <v>1750</v>
      </c>
    </row>
    <row r="54" spans="7:15" ht="15" thickBot="1" x14ac:dyDescent="0.35">
      <c r="G54" s="22">
        <v>-300</v>
      </c>
    </row>
    <row r="55" spans="7:15" ht="15" thickBot="1" x14ac:dyDescent="0.35">
      <c r="G55" s="22">
        <v>-122.73</v>
      </c>
    </row>
    <row r="56" spans="7:15" ht="15" thickBot="1" x14ac:dyDescent="0.35">
      <c r="G56" s="22">
        <v>-400</v>
      </c>
    </row>
    <row r="57" spans="7:15" ht="15" thickBot="1" x14ac:dyDescent="0.35">
      <c r="G57" s="22">
        <v>-19</v>
      </c>
    </row>
    <row r="58" spans="7:15" ht="15" thickBot="1" x14ac:dyDescent="0.35">
      <c r="G58" s="22">
        <v>-227.19</v>
      </c>
    </row>
    <row r="59" spans="7:15" ht="15" thickBot="1" x14ac:dyDescent="0.35">
      <c r="G59" s="22">
        <v>-1900</v>
      </c>
    </row>
    <row r="60" spans="7:15" ht="15" thickBot="1" x14ac:dyDescent="0.35">
      <c r="G60" s="22">
        <v>-300</v>
      </c>
    </row>
    <row r="61" spans="7:15" ht="15" thickBot="1" x14ac:dyDescent="0.35">
      <c r="G61" s="22">
        <v>-81.98</v>
      </c>
    </row>
    <row r="62" spans="7:15" ht="15" thickBot="1" x14ac:dyDescent="0.35">
      <c r="G62" s="22">
        <v>-50</v>
      </c>
    </row>
    <row r="63" spans="7:15" ht="15" thickBot="1" x14ac:dyDescent="0.35">
      <c r="G63" s="22">
        <v>90</v>
      </c>
    </row>
    <row r="64" spans="7:15" ht="15" thickBot="1" x14ac:dyDescent="0.35">
      <c r="G64" s="22">
        <v>-200</v>
      </c>
    </row>
    <row r="65" spans="7:7" ht="15" thickBot="1" x14ac:dyDescent="0.35">
      <c r="G65" s="22">
        <v>-154</v>
      </c>
    </row>
    <row r="66" spans="7:7" ht="15" thickBot="1" x14ac:dyDescent="0.35">
      <c r="G66" s="22">
        <v>-400</v>
      </c>
    </row>
    <row r="67" spans="7:7" ht="15" thickBot="1" x14ac:dyDescent="0.35">
      <c r="G67" s="22">
        <v>1200</v>
      </c>
    </row>
    <row r="68" spans="7:7" ht="15" thickBot="1" x14ac:dyDescent="0.35">
      <c r="G68" s="22">
        <v>-188.44</v>
      </c>
    </row>
    <row r="69" spans="7:7" ht="15" thickBot="1" x14ac:dyDescent="0.35">
      <c r="G69" s="22">
        <v>-200</v>
      </c>
    </row>
    <row r="70" spans="7:7" ht="15" thickBot="1" x14ac:dyDescent="0.35">
      <c r="G70" s="22">
        <v>-250</v>
      </c>
    </row>
    <row r="71" spans="7:7" ht="15" thickBot="1" x14ac:dyDescent="0.35">
      <c r="G71" s="22">
        <v>-150</v>
      </c>
    </row>
    <row r="72" spans="7:7" ht="15" thickBot="1" x14ac:dyDescent="0.35">
      <c r="G72" s="22">
        <v>-299.77999999999997</v>
      </c>
    </row>
    <row r="73" spans="7:7" ht="15" thickBot="1" x14ac:dyDescent="0.35">
      <c r="G73" s="22">
        <v>56.43</v>
      </c>
    </row>
    <row r="74" spans="7:7" ht="15" thickBot="1" x14ac:dyDescent="0.35">
      <c r="G74" s="22">
        <v>2780</v>
      </c>
    </row>
    <row r="75" spans="7:7" ht="15" thickBot="1" x14ac:dyDescent="0.35">
      <c r="G75" s="22">
        <v>3000</v>
      </c>
    </row>
    <row r="76" spans="7:7" ht="15" thickBot="1" x14ac:dyDescent="0.35">
      <c r="G76" s="22">
        <v>-3913.3</v>
      </c>
    </row>
    <row r="77" spans="7:7" ht="15" thickBot="1" x14ac:dyDescent="0.35">
      <c r="G77" s="22">
        <v>-1182.6600000000001</v>
      </c>
    </row>
    <row r="78" spans="7:7" ht="15" thickBot="1" x14ac:dyDescent="0.35">
      <c r="G78" s="22">
        <v>1350</v>
      </c>
    </row>
    <row r="79" spans="7:7" ht="15" thickBot="1" x14ac:dyDescent="0.35">
      <c r="G79" s="22">
        <v>800</v>
      </c>
    </row>
    <row r="80" spans="7:7" ht="15" thickBot="1" x14ac:dyDescent="0.35">
      <c r="G80" s="22">
        <v>-2149.98</v>
      </c>
    </row>
    <row r="81" spans="7:7" ht="15" thickBot="1" x14ac:dyDescent="0.35">
      <c r="G81" s="22">
        <v>-79.900000000000006</v>
      </c>
    </row>
    <row r="82" spans="7:7" ht="15" thickBot="1" x14ac:dyDescent="0.35">
      <c r="G82" s="22">
        <v>-62</v>
      </c>
    </row>
    <row r="83" spans="7:7" ht="15" thickBot="1" x14ac:dyDescent="0.35">
      <c r="G83" s="22">
        <v>700</v>
      </c>
    </row>
    <row r="84" spans="7:7" ht="15" thickBot="1" x14ac:dyDescent="0.35">
      <c r="G84" s="22">
        <v>-699.96</v>
      </c>
    </row>
    <row r="85" spans="7:7" ht="15" thickBot="1" x14ac:dyDescent="0.35">
      <c r="G85" s="22">
        <v>-202.11</v>
      </c>
    </row>
    <row r="86" spans="7:7" ht="15" thickBot="1" x14ac:dyDescent="0.35">
      <c r="G86" s="22">
        <v>-55</v>
      </c>
    </row>
    <row r="87" spans="7:7" ht="15" thickBot="1" x14ac:dyDescent="0.35">
      <c r="G87" s="22">
        <v>-300</v>
      </c>
    </row>
    <row r="88" spans="7:7" ht="15" thickBot="1" x14ac:dyDescent="0.35">
      <c r="G88" s="22">
        <v>640</v>
      </c>
    </row>
    <row r="89" spans="7:7" ht="15" thickBot="1" x14ac:dyDescent="0.35">
      <c r="G89" s="22">
        <v>-150</v>
      </c>
    </row>
    <row r="90" spans="7:7" ht="15" thickBot="1" x14ac:dyDescent="0.35">
      <c r="G90" s="22">
        <v>-122.03</v>
      </c>
    </row>
    <row r="91" spans="7:7" ht="15" thickBot="1" x14ac:dyDescent="0.35">
      <c r="G91" s="22">
        <v>-133.69</v>
      </c>
    </row>
    <row r="92" spans="7:7" ht="15" thickBot="1" x14ac:dyDescent="0.35">
      <c r="G92" s="22">
        <v>-130.56</v>
      </c>
    </row>
    <row r="93" spans="7:7" ht="15" thickBot="1" x14ac:dyDescent="0.35">
      <c r="G93" s="22">
        <v>-100</v>
      </c>
    </row>
    <row r="94" spans="7:7" ht="15" thickBot="1" x14ac:dyDescent="0.35">
      <c r="G94" s="22">
        <v>1500</v>
      </c>
    </row>
    <row r="95" spans="7:7" ht="15" thickBot="1" x14ac:dyDescent="0.35">
      <c r="G95" s="22">
        <v>-275.62</v>
      </c>
    </row>
    <row r="96" spans="7:7" ht="15" thickBot="1" x14ac:dyDescent="0.35">
      <c r="G96" s="22">
        <v>-275.62</v>
      </c>
    </row>
    <row r="97" spans="7:7" ht="15" thickBot="1" x14ac:dyDescent="0.35">
      <c r="G97" s="22">
        <v>-275.62</v>
      </c>
    </row>
    <row r="98" spans="7:7" ht="15" thickBot="1" x14ac:dyDescent="0.35">
      <c r="G98" s="22">
        <v>-275.62</v>
      </c>
    </row>
    <row r="99" spans="7:7" ht="15" thickBot="1" x14ac:dyDescent="0.35">
      <c r="G99" s="22">
        <v>-275.62</v>
      </c>
    </row>
    <row r="100" spans="7:7" ht="15" thickBot="1" x14ac:dyDescent="0.35">
      <c r="G100" s="22">
        <v>-275.62</v>
      </c>
    </row>
    <row r="101" spans="7:7" ht="15" thickBot="1" x14ac:dyDescent="0.35">
      <c r="G101" s="22">
        <v>-110</v>
      </c>
    </row>
    <row r="102" spans="7:7" ht="15" thickBot="1" x14ac:dyDescent="0.35">
      <c r="G102" s="22">
        <v>1200</v>
      </c>
    </row>
    <row r="103" spans="7:7" ht="15" thickBot="1" x14ac:dyDescent="0.35">
      <c r="G103" s="22">
        <v>-200</v>
      </c>
    </row>
    <row r="104" spans="7:7" ht="15" thickBot="1" x14ac:dyDescent="0.35">
      <c r="G104" s="22">
        <v>-200</v>
      </c>
    </row>
    <row r="105" spans="7:7" ht="15" thickBot="1" x14ac:dyDescent="0.35">
      <c r="G105" s="22">
        <v>-200</v>
      </c>
    </row>
    <row r="106" spans="7:7" ht="15" thickBot="1" x14ac:dyDescent="0.35">
      <c r="G106" s="22">
        <v>-200</v>
      </c>
    </row>
    <row r="107" spans="7:7" ht="15" thickBot="1" x14ac:dyDescent="0.35">
      <c r="G107" s="22">
        <v>-200</v>
      </c>
    </row>
    <row r="108" spans="7:7" ht="15" thickBot="1" x14ac:dyDescent="0.35">
      <c r="G108" s="22">
        <v>-200</v>
      </c>
    </row>
    <row r="109" spans="7:7" ht="15" thickBot="1" x14ac:dyDescent="0.35">
      <c r="G109" s="22">
        <v>-54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fluxo_de_caixa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Martins</dc:creator>
  <cp:lastModifiedBy>Murilo Martins</cp:lastModifiedBy>
  <dcterms:created xsi:type="dcterms:W3CDTF">2025-10-20T22:36:47Z</dcterms:created>
  <dcterms:modified xsi:type="dcterms:W3CDTF">2025-10-21T04:49:45Z</dcterms:modified>
</cp:coreProperties>
</file>